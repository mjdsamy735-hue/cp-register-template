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‏‏SEPOC\SEPOC Speceipcation\"/>
    </mc:Choice>
  </mc:AlternateContent>
  <xr:revisionPtr revIDLastSave="0" documentId="8_{5080F6BE-4B26-4192-B063-297796F167FA}" xr6:coauthVersionLast="47" xr6:coauthVersionMax="47" xr10:uidLastSave="{00000000-0000-0000-0000-000000000000}"/>
  <bookViews>
    <workbookView xWindow="-108" yWindow="-108" windowWidth="23256" windowHeight="12456" xr2:uid="{D95AC3F0-FC76-49DA-8809-0B227CF58555}"/>
  </bookViews>
  <sheets>
    <sheet name="Registe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N10" i="1"/>
</calcChain>
</file>

<file path=xl/sharedStrings.xml><?xml version="1.0" encoding="utf-8"?>
<sst xmlns="http://schemas.openxmlformats.org/spreadsheetml/2006/main" count="201" uniqueCount="134">
  <si>
    <t xml:space="preserve">TRU out put </t>
  </si>
  <si>
    <t>Note</t>
  </si>
  <si>
    <t xml:space="preserve"> Field CODE</t>
  </si>
  <si>
    <t>TR NUM</t>
  </si>
  <si>
    <t>Capacity (V/A)</t>
  </si>
  <si>
    <t xml:space="preserve">Max DC Voltage V </t>
  </si>
  <si>
    <t xml:space="preserve">Max DC Curerrent  A </t>
  </si>
  <si>
    <t xml:space="preserve">TYPE </t>
  </si>
  <si>
    <t>MANFUCTURER</t>
  </si>
  <si>
    <t>MODEL NO</t>
  </si>
  <si>
    <t>TYPE</t>
  </si>
  <si>
    <t>SER NO</t>
  </si>
  <si>
    <t>RECTIFIER AREA</t>
  </si>
  <si>
    <t>AREA CODE</t>
  </si>
  <si>
    <t xml:space="preserve">FLOW LINE NUMBER </t>
  </si>
  <si>
    <t>R-1400</t>
  </si>
  <si>
    <t>80/40</t>
  </si>
  <si>
    <t>OIL</t>
  </si>
  <si>
    <t>WAYNE BROYLES ENG CORR</t>
  </si>
  <si>
    <t>TAP ADJUSTE</t>
  </si>
  <si>
    <t>68626366-N</t>
  </si>
  <si>
    <t xml:space="preserve"> CPU INJECTION MNF</t>
  </si>
  <si>
    <t>R-1401</t>
  </si>
  <si>
    <t>60/30</t>
  </si>
  <si>
    <t xml:space="preserve"> CPU CONTROL ROOM</t>
  </si>
  <si>
    <t>R-1402</t>
  </si>
  <si>
    <t>AIR</t>
  </si>
  <si>
    <t>PS1</t>
  </si>
  <si>
    <t>R-1403</t>
  </si>
  <si>
    <t>80/50</t>
  </si>
  <si>
    <t>CPU CRUDE OIL TANKS</t>
  </si>
  <si>
    <t>R-1404</t>
  </si>
  <si>
    <t xml:space="preserve">INTEGRATED RECTFIER TECHNLOGY </t>
  </si>
  <si>
    <t>CPU  N &amp; S MNF</t>
  </si>
  <si>
    <t xml:space="preserve"> </t>
  </si>
  <si>
    <t>R-1405</t>
  </si>
  <si>
    <t>50/35</t>
  </si>
  <si>
    <t>CPU EXP &amp; LP MNF. Oil Rctfr</t>
  </si>
  <si>
    <t>R-1406</t>
  </si>
  <si>
    <t>50/25</t>
  </si>
  <si>
    <t>CPU FIRE WATER TANK</t>
  </si>
  <si>
    <t>R-1407</t>
  </si>
  <si>
    <t>RAYDAN STORAGE TANKS</t>
  </si>
  <si>
    <t>R-1408</t>
  </si>
  <si>
    <t>50/50</t>
  </si>
  <si>
    <t>ADASZT 50-60 JQaTW</t>
  </si>
  <si>
    <t xml:space="preserve">   RAYDAN MANIFOLD</t>
  </si>
  <si>
    <t>Restarted transformer with tap A/5</t>
  </si>
  <si>
    <t>R-1409</t>
  </si>
  <si>
    <t>50/42</t>
  </si>
  <si>
    <t>ALSHURA MANIFOLD</t>
  </si>
  <si>
    <t>R-1410</t>
  </si>
  <si>
    <t>50/28</t>
  </si>
  <si>
    <t>KPU FIRE WATER TANK</t>
  </si>
  <si>
    <t>R-1411</t>
  </si>
  <si>
    <t>R-1412</t>
  </si>
  <si>
    <t>R-1413</t>
  </si>
  <si>
    <t xml:space="preserve">ALRAJA MNF                    </t>
  </si>
  <si>
    <t>Change tap from A/5 to B/4 .</t>
  </si>
  <si>
    <t>R-1414</t>
  </si>
  <si>
    <t>R-1415</t>
  </si>
  <si>
    <t xml:space="preserve">ALRAJA  Well # 19             </t>
  </si>
  <si>
    <t>R-1416</t>
  </si>
  <si>
    <t xml:space="preserve">KPU PRODUCTION MNF 2   </t>
  </si>
  <si>
    <t>R-1417</t>
  </si>
  <si>
    <t>50/60</t>
  </si>
  <si>
    <t xml:space="preserve">	ADVANTAGE SERIES (Manual Voltage Adjustment Type)AIR-COOLED-SILICON-380 VOLTS AC-THREE-PHASE-</t>
  </si>
  <si>
    <t>11R-0408</t>
  </si>
  <si>
    <t>CPU -NEW EXP. MNFLD Air Rctfr</t>
  </si>
  <si>
    <t>R-1418</t>
  </si>
  <si>
    <t>RAYDAN - 16"  Gas Line</t>
  </si>
  <si>
    <t>R-1419</t>
  </si>
  <si>
    <t>24/5</t>
  </si>
  <si>
    <t>CTS-pml  COMPANY</t>
  </si>
  <si>
    <t>24/10</t>
  </si>
  <si>
    <t>R-1420</t>
  </si>
  <si>
    <t>CPU-PHASE 2-U/G PIPING</t>
  </si>
  <si>
    <t>R-1421</t>
  </si>
  <si>
    <t>25/3</t>
  </si>
  <si>
    <t>LPG-FWT EXTERNAL CP SYS</t>
  </si>
  <si>
    <t>LPG-FWT INTERNAL CP SYS</t>
  </si>
  <si>
    <t>R-1422</t>
  </si>
  <si>
    <t>LPG-BULLETS</t>
  </si>
  <si>
    <t>R-1423</t>
  </si>
  <si>
    <t>50/20</t>
  </si>
  <si>
    <t>50</t>
  </si>
  <si>
    <t>LPG- U/G PIPING</t>
  </si>
  <si>
    <t>R-1424</t>
  </si>
  <si>
    <t>ALIF WELLS 8,231 &amp; 187</t>
  </si>
  <si>
    <t>W8=13.7A, W231=12.53A, W187=14.8A</t>
  </si>
  <si>
    <t>R-1425</t>
  </si>
  <si>
    <t>ALIF WELLS 67,105 &amp; 220</t>
  </si>
  <si>
    <t>W67=0.40A, W105=0.40 W220=0.35A</t>
  </si>
  <si>
    <t>R-1426</t>
  </si>
  <si>
    <t>ALIF WELLS 116, 124 &amp; 201</t>
  </si>
  <si>
    <t>W116=2.7A, W124=3A, W201=3A</t>
  </si>
  <si>
    <t>R-1427</t>
  </si>
  <si>
    <t>24/12</t>
  </si>
  <si>
    <t>CPU FWT  INTERNAL CP SYS</t>
  </si>
  <si>
    <t>PRE readings = -1040mV</t>
  </si>
  <si>
    <t>R-1428</t>
  </si>
  <si>
    <t>12</t>
  </si>
  <si>
    <t>KPU FWT INTERNAL CP SYS</t>
  </si>
  <si>
    <t>PRE readings = -1130mV</t>
  </si>
  <si>
    <t>R-1429</t>
  </si>
  <si>
    <t>30/50</t>
  </si>
  <si>
    <t>30</t>
  </si>
  <si>
    <t>ADASZT 30-50  JTWY</t>
  </si>
  <si>
    <t>14R-0920</t>
  </si>
  <si>
    <t>ALIF WELLS 128, 165, 171 &amp; 188</t>
  </si>
  <si>
    <t>R-1430</t>
  </si>
  <si>
    <t>42</t>
  </si>
  <si>
    <t>ALIF # 119, 120 &amp; Loading P/L 6"</t>
  </si>
  <si>
    <t>R-1431</t>
  </si>
  <si>
    <t>24</t>
  </si>
  <si>
    <t>RYDAN PRODUCED W.T INTERNAL</t>
  </si>
  <si>
    <t>A1-3</t>
  </si>
  <si>
    <t>HOCK-WAY COMPANY</t>
  </si>
  <si>
    <t>CPU-KPU YLNG Transfare Line</t>
  </si>
  <si>
    <t>*</t>
  </si>
  <si>
    <t>A1-2</t>
  </si>
  <si>
    <t>LOCATION</t>
  </si>
  <si>
    <t xml:space="preserve">     ALRAJA  Well # 2             </t>
  </si>
  <si>
    <t xml:space="preserve">     ALRAJA  Well # 4             </t>
  </si>
  <si>
    <t xml:space="preserve">     ALRAJA  Well #10</t>
  </si>
  <si>
    <t>No car road and Sand hill</t>
  </si>
  <si>
    <t xml:space="preserve">     ALRAJA  Well # 16</t>
  </si>
  <si>
    <t xml:space="preserve">     ALRAJA  Well # 31</t>
  </si>
  <si>
    <t xml:space="preserve">     ALRAJA  Well # 24</t>
  </si>
  <si>
    <t>KPU PRODUCTION MNF 1</t>
  </si>
  <si>
    <t>KPU INJECTION MNF</t>
  </si>
  <si>
    <t xml:space="preserve">ALRAJA  Well #30            </t>
  </si>
  <si>
    <r>
      <t xml:space="preserve">CPU-PH.2 FWT </t>
    </r>
    <r>
      <rPr>
        <u/>
        <sz val="10"/>
        <color indexed="8"/>
        <rFont val="Arial"/>
        <family val="2"/>
      </rPr>
      <t>EXTERNAL</t>
    </r>
    <r>
      <rPr>
        <sz val="10"/>
        <color indexed="8"/>
        <rFont val="Arial"/>
        <family val="2"/>
      </rPr>
      <t xml:space="preserve"> CP</t>
    </r>
  </si>
  <si>
    <r>
      <t xml:space="preserve">CPU-PH.2 FWT </t>
    </r>
    <r>
      <rPr>
        <u/>
        <sz val="10"/>
        <color indexed="8"/>
        <rFont val="Arial"/>
        <family val="2"/>
      </rPr>
      <t>INTERNAL</t>
    </r>
    <r>
      <rPr>
        <sz val="10"/>
        <color indexed="8"/>
        <rFont val="Arial"/>
        <family val="2"/>
      </rPr>
      <t xml:space="preserve"> CP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</si>
</sst>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?/4"/>
    <numFmt numFmtId="165" formatCode="[$-1010000]d/m/yyyy;@"/>
  </numFmts>
  <fonts count="1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u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5" fillId="0" borderId="10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readingOrder="1"/>
    </xf>
    <xf numFmtId="0" fontId="3" fillId="2" borderId="15" xfId="0" applyFont="1" applyFill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center" vertical="center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vertical="center" wrapText="1" readingOrder="1"/>
    </xf>
    <xf numFmtId="0" fontId="7" fillId="0" borderId="7" xfId="0" applyFont="1" applyBorder="1" applyAlignment="1">
      <alignment horizontal="center" vertical="center" wrapText="1" readingOrder="1"/>
    </xf>
    <xf numFmtId="0" fontId="7" fillId="0" borderId="11" xfId="0" applyFont="1" applyBorder="1" applyAlignment="1">
      <alignment horizontal="center" vertical="center" wrapText="1" readingOrder="1"/>
    </xf>
    <xf numFmtId="0" fontId="6" fillId="0" borderId="10" xfId="0" applyFont="1" applyBorder="1" applyAlignment="1">
      <alignment vertical="center" wrapText="1" readingOrder="1"/>
    </xf>
    <xf numFmtId="0" fontId="8" fillId="0" borderId="10" xfId="0" applyFont="1" applyBorder="1" applyAlignment="1">
      <alignment vertical="center" wrapText="1" readingOrder="1"/>
    </xf>
    <xf numFmtId="0" fontId="4" fillId="0" borderId="12" xfId="0" applyFont="1" applyBorder="1" applyAlignment="1">
      <alignment horizontal="center" vertical="center" readingOrder="1"/>
    </xf>
    <xf numFmtId="0" fontId="4" fillId="0" borderId="17" xfId="0" applyFont="1" applyBorder="1" applyAlignment="1">
      <alignment horizontal="center" vertical="center" readingOrder="1"/>
    </xf>
    <xf numFmtId="0" fontId="7" fillId="0" borderId="18" xfId="0" applyFont="1" applyBorder="1" applyAlignment="1">
      <alignment horizontal="center" vertical="center" wrapText="1" readingOrder="1"/>
    </xf>
    <xf numFmtId="165" fontId="6" fillId="0" borderId="7" xfId="0" applyNumberFormat="1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2" borderId="20" xfId="0" applyFont="1" applyFill="1" applyBorder="1" applyAlignment="1">
      <alignment horizontal="center" vertical="center" wrapText="1" readingOrder="1"/>
    </xf>
    <xf numFmtId="0" fontId="3" fillId="2" borderId="21" xfId="0" applyFont="1" applyFill="1" applyBorder="1" applyAlignment="1">
      <alignment horizontal="center" vertical="center" wrapText="1" readingOrder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 readingOrder="1"/>
    </xf>
    <xf numFmtId="0" fontId="11" fillId="0" borderId="7" xfId="0" applyFont="1" applyFill="1" applyBorder="1"/>
    <xf numFmtId="0" fontId="10" fillId="0" borderId="7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readingOrder="1"/>
    </xf>
    <xf numFmtId="49" fontId="10" fillId="0" borderId="7" xfId="0" applyNumberFormat="1" applyFont="1" applyBorder="1" applyAlignment="1">
      <alignment horizontal="center" vertical="center" wrapText="1" readingOrder="1"/>
    </xf>
    <xf numFmtId="0" fontId="12" fillId="0" borderId="7" xfId="0" applyFont="1" applyBorder="1" applyAlignment="1">
      <alignment horizontal="center" vertical="center" readingOrder="1"/>
    </xf>
    <xf numFmtId="0" fontId="13" fillId="0" borderId="7" xfId="0" applyFont="1" applyBorder="1" applyAlignment="1">
      <alignment horizontal="center" vertical="center" wrapText="1" readingOrder="1"/>
    </xf>
    <xf numFmtId="0" fontId="10" fillId="0" borderId="7" xfId="0" applyFont="1" applyFill="1" applyBorder="1" applyAlignment="1">
      <alignment horizontal="center" vertical="center" wrapText="1" readingOrder="1"/>
    </xf>
    <xf numFmtId="164" fontId="9" fillId="0" borderId="7" xfId="0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readingOrder="1"/>
    </xf>
    <xf numFmtId="0" fontId="10" fillId="0" borderId="7" xfId="0" quotePrefix="1" applyFont="1" applyFill="1" applyBorder="1" applyAlignment="1">
      <alignment horizontal="center" vertical="center" readingOrder="1"/>
    </xf>
    <xf numFmtId="49" fontId="10" fillId="0" borderId="7" xfId="0" applyNumberFormat="1" applyFont="1" applyFill="1" applyBorder="1" applyAlignment="1">
      <alignment horizontal="center" vertical="center" wrapText="1" readingOrder="1"/>
    </xf>
    <xf numFmtId="49" fontId="4" fillId="0" borderId="14" xfId="0" applyNumberFormat="1" applyFont="1" applyFill="1" applyBorder="1" applyAlignment="1">
      <alignment horizontal="center" vertical="center" wrapText="1" readingOrder="1"/>
    </xf>
    <xf numFmtId="0" fontId="10" fillId="0" borderId="6" xfId="0" applyFont="1" applyFill="1" applyBorder="1" applyAlignment="1">
      <alignment horizontal="center" vertical="center" wrapText="1" readingOrder="1"/>
    </xf>
    <xf numFmtId="0" fontId="10" fillId="0" borderId="9" xfId="0" applyFont="1" applyFill="1" applyBorder="1" applyAlignment="1">
      <alignment horizontal="center" vertical="center" wrapText="1" readingOrder="1"/>
    </xf>
    <xf numFmtId="0" fontId="10" fillId="0" borderId="12" xfId="0" applyFont="1" applyFill="1" applyBorder="1" applyAlignment="1">
      <alignment horizontal="center" vertical="center" wrapText="1" readingOrder="1"/>
    </xf>
    <xf numFmtId="0" fontId="10" fillId="0" borderId="9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14</xdr:col>
      <xdr:colOff>0</xdr:colOff>
      <xdr:row>2</xdr:row>
      <xdr:rowOff>83820</xdr:rowOff>
    </xdr:to>
    <xdr:grpSp>
      <xdr:nvGrpSpPr>
        <xdr:cNvPr id="8" name="Group 3">
          <a:extLst>
            <a:ext uri="{FF2B5EF4-FFF2-40B4-BE49-F238E27FC236}">
              <a16:creationId xmlns:a16="http://schemas.microsoft.com/office/drawing/2014/main" id="{9C0C4637-819D-474E-AF77-D188DA3CBFEA}"/>
            </a:ext>
          </a:extLst>
        </xdr:cNvPr>
        <xdr:cNvGrpSpPr>
          <a:grpSpLocks/>
        </xdr:cNvGrpSpPr>
      </xdr:nvGrpSpPr>
      <xdr:grpSpPr bwMode="auto">
        <a:xfrm>
          <a:off x="8077200" y="0"/>
          <a:ext cx="4890655" cy="444038"/>
          <a:chOff x="762000" y="0"/>
          <a:chExt cx="5524499" cy="619125"/>
        </a:xfrm>
      </xdr:grpSpPr>
      <xdr:pic>
        <xdr:nvPicPr>
          <xdr:cNvPr id="9" name="Picture 1" descr="Copy (2) of Safer Logo  Sizes and proportions ok.jpg">
            <a:extLst>
              <a:ext uri="{FF2B5EF4-FFF2-40B4-BE49-F238E27FC236}">
                <a16:creationId xmlns:a16="http://schemas.microsoft.com/office/drawing/2014/main" id="{82D82228-4D55-DD46-E68E-07F18443F2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0" y="0"/>
            <a:ext cx="1228725" cy="619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" name="TextBox 2">
            <a:extLst>
              <a:ext uri="{FF2B5EF4-FFF2-40B4-BE49-F238E27FC236}">
                <a16:creationId xmlns:a16="http://schemas.microsoft.com/office/drawing/2014/main" id="{F7F49E41-0FF2-5E00-908C-B7B99541EC0A}"/>
              </a:ext>
            </a:extLst>
          </xdr:cNvPr>
          <xdr:cNvSpPr txBox="1"/>
        </xdr:nvSpPr>
        <xdr:spPr>
          <a:xfrm>
            <a:off x="2062584" y="25015"/>
            <a:ext cx="4223915" cy="5503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en-US" sz="1200" b="1"/>
              <a:t>Safer Exploration and Production Operations Company (SEPOC)</a:t>
            </a:r>
          </a:p>
          <a:p>
            <a:pPr algn="ctr"/>
            <a:r>
              <a:rPr lang="en-US" sz="1200" b="1"/>
              <a:t>Projects &amp; Engineering Department - Field Inspection Section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0867-6074-40C0-ADBF-82532D99E510}">
  <dimension ref="A1:O48"/>
  <sheetViews>
    <sheetView tabSelected="1" zoomScale="55" zoomScaleNormal="55" workbookViewId="0">
      <selection activeCell="D49" sqref="D49"/>
    </sheetView>
  </sheetViews>
  <sheetFormatPr defaultRowHeight="14.4" x14ac:dyDescent="0.3"/>
  <cols>
    <col min="1" max="1" width="11.5546875" customWidth="1"/>
    <col min="2" max="2" width="15.77734375" customWidth="1"/>
    <col min="3" max="3" width="14.33203125" customWidth="1"/>
    <col min="4" max="4" width="13.5546875" customWidth="1"/>
    <col min="5" max="5" width="13.77734375" customWidth="1"/>
    <col min="6" max="6" width="9.5546875" customWidth="1"/>
    <col min="7" max="7" width="39.44140625" customWidth="1"/>
    <col min="8" max="11" width="0" hidden="1" customWidth="1"/>
    <col min="12" max="12" width="45.21875" customWidth="1"/>
    <col min="13" max="13" width="14.44140625" customWidth="1"/>
    <col min="14" max="14" width="11.44140625" customWidth="1"/>
    <col min="15" max="15" width="41.5546875" customWidth="1"/>
  </cols>
  <sheetData>
    <row r="1" spans="1:15" x14ac:dyDescent="0.3">
      <c r="L1" s="1"/>
      <c r="M1" s="1"/>
      <c r="N1" s="1"/>
      <c r="O1" s="2"/>
    </row>
    <row r="2" spans="1:15" x14ac:dyDescent="0.3">
      <c r="L2" s="1"/>
      <c r="M2" s="1"/>
      <c r="N2" s="1"/>
      <c r="O2" s="2"/>
    </row>
    <row r="3" spans="1:15" ht="15" thickBot="1" x14ac:dyDescent="0.35">
      <c r="L3" s="1"/>
      <c r="M3" s="1"/>
      <c r="N3" s="1"/>
      <c r="O3" s="3"/>
    </row>
    <row r="4" spans="1:15" ht="15" thickBot="1" x14ac:dyDescent="0.35">
      <c r="A4" s="4"/>
      <c r="B4" s="5" t="s">
        <v>0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1</v>
      </c>
    </row>
    <row r="5" spans="1:15" ht="42" thickTop="1" x14ac:dyDescent="0.3">
      <c r="A5" s="25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/>
      <c r="J5" s="8" t="s">
        <v>10</v>
      </c>
      <c r="K5" s="8" t="s">
        <v>11</v>
      </c>
      <c r="L5" s="26" t="s">
        <v>12</v>
      </c>
      <c r="M5" s="26" t="s">
        <v>13</v>
      </c>
      <c r="N5" s="26" t="s">
        <v>14</v>
      </c>
      <c r="O5" s="9"/>
    </row>
    <row r="6" spans="1:15" ht="23.4" customHeight="1" x14ac:dyDescent="0.3">
      <c r="A6" s="30">
        <v>12</v>
      </c>
      <c r="B6" s="30" t="s">
        <v>15</v>
      </c>
      <c r="C6" s="29" t="s">
        <v>16</v>
      </c>
      <c r="D6" s="29">
        <v>80</v>
      </c>
      <c r="E6" s="29">
        <v>40</v>
      </c>
      <c r="F6" s="43" t="s">
        <v>17</v>
      </c>
      <c r="G6" s="30" t="s">
        <v>18</v>
      </c>
      <c r="H6" s="30">
        <v>35702</v>
      </c>
      <c r="I6" s="30"/>
      <c r="J6" s="30" t="s">
        <v>19</v>
      </c>
      <c r="K6" s="30" t="s">
        <v>20</v>
      </c>
      <c r="L6" s="30" t="s">
        <v>21</v>
      </c>
      <c r="M6" s="30"/>
      <c r="N6" s="30">
        <v>23</v>
      </c>
      <c r="O6" s="32"/>
    </row>
    <row r="7" spans="1:15" x14ac:dyDescent="0.3">
      <c r="A7" s="30">
        <v>12</v>
      </c>
      <c r="B7" s="30" t="s">
        <v>22</v>
      </c>
      <c r="C7" s="29" t="s">
        <v>23</v>
      </c>
      <c r="D7" s="29">
        <v>60</v>
      </c>
      <c r="E7" s="29">
        <v>30</v>
      </c>
      <c r="F7" s="44" t="s">
        <v>17</v>
      </c>
      <c r="G7" s="30" t="s">
        <v>18</v>
      </c>
      <c r="H7" s="30"/>
      <c r="I7" s="30"/>
      <c r="J7" s="30"/>
      <c r="K7" s="30"/>
      <c r="L7" s="30" t="s">
        <v>24</v>
      </c>
      <c r="M7" s="30"/>
      <c r="N7" s="30"/>
      <c r="O7" s="32"/>
    </row>
    <row r="8" spans="1:15" x14ac:dyDescent="0.3">
      <c r="A8" s="30">
        <v>13</v>
      </c>
      <c r="B8" s="30" t="s">
        <v>25</v>
      </c>
      <c r="C8" s="29" t="s">
        <v>23</v>
      </c>
      <c r="D8" s="29">
        <v>60</v>
      </c>
      <c r="E8" s="29">
        <v>30</v>
      </c>
      <c r="F8" s="44" t="s">
        <v>26</v>
      </c>
      <c r="G8" s="30"/>
      <c r="H8" s="30"/>
      <c r="I8" s="30"/>
      <c r="J8" s="30"/>
      <c r="K8" s="30"/>
      <c r="L8" s="30" t="s">
        <v>27</v>
      </c>
      <c r="M8" s="30"/>
      <c r="N8" s="30"/>
      <c r="O8" s="32"/>
    </row>
    <row r="9" spans="1:15" x14ac:dyDescent="0.3">
      <c r="A9" s="30">
        <v>12</v>
      </c>
      <c r="B9" s="30" t="s">
        <v>28</v>
      </c>
      <c r="C9" s="29" t="s">
        <v>29</v>
      </c>
      <c r="D9" s="29">
        <v>80</v>
      </c>
      <c r="E9" s="29">
        <v>50</v>
      </c>
      <c r="F9" s="44" t="s">
        <v>17</v>
      </c>
      <c r="G9" s="30"/>
      <c r="H9" s="30"/>
      <c r="I9" s="30"/>
      <c r="J9" s="30"/>
      <c r="K9" s="30"/>
      <c r="L9" s="30" t="s">
        <v>30</v>
      </c>
      <c r="M9" s="30"/>
      <c r="N9" s="30"/>
      <c r="O9" s="32"/>
    </row>
    <row r="10" spans="1:15" x14ac:dyDescent="0.3">
      <c r="A10" s="30">
        <v>12</v>
      </c>
      <c r="B10" s="30" t="s">
        <v>31</v>
      </c>
      <c r="C10" s="29" t="s">
        <v>29</v>
      </c>
      <c r="D10" s="29">
        <v>80</v>
      </c>
      <c r="E10" s="29">
        <v>50</v>
      </c>
      <c r="F10" s="44" t="s">
        <v>26</v>
      </c>
      <c r="G10" s="30" t="s">
        <v>32</v>
      </c>
      <c r="H10" s="30"/>
      <c r="I10" s="30"/>
      <c r="J10" s="30"/>
      <c r="K10" s="30"/>
      <c r="L10" s="30" t="s">
        <v>33</v>
      </c>
      <c r="M10" s="30"/>
      <c r="N10" s="30">
        <f>46+47</f>
        <v>93</v>
      </c>
      <c r="O10" s="32" t="s">
        <v>34</v>
      </c>
    </row>
    <row r="11" spans="1:15" x14ac:dyDescent="0.3">
      <c r="A11" s="30">
        <v>12</v>
      </c>
      <c r="B11" s="30" t="s">
        <v>35</v>
      </c>
      <c r="C11" s="29" t="s">
        <v>36</v>
      </c>
      <c r="D11" s="29">
        <v>50</v>
      </c>
      <c r="E11" s="29">
        <v>35</v>
      </c>
      <c r="F11" s="44" t="s">
        <v>17</v>
      </c>
      <c r="G11" s="30"/>
      <c r="H11" s="30"/>
      <c r="I11" s="30"/>
      <c r="J11" s="30"/>
      <c r="K11" s="30"/>
      <c r="L11" s="30" t="s">
        <v>37</v>
      </c>
      <c r="M11" s="30"/>
      <c r="N11" s="30">
        <f>44+13</f>
        <v>57</v>
      </c>
      <c r="O11" s="32"/>
    </row>
    <row r="12" spans="1:15" x14ac:dyDescent="0.3">
      <c r="A12" s="30">
        <v>12</v>
      </c>
      <c r="B12" s="30" t="s">
        <v>38</v>
      </c>
      <c r="C12" s="29" t="s">
        <v>39</v>
      </c>
      <c r="D12" s="29">
        <v>50</v>
      </c>
      <c r="E12" s="29">
        <v>25</v>
      </c>
      <c r="F12" s="44"/>
      <c r="G12" s="30"/>
      <c r="H12" s="30"/>
      <c r="I12" s="30"/>
      <c r="J12" s="30"/>
      <c r="K12" s="30"/>
      <c r="L12" s="30" t="s">
        <v>40</v>
      </c>
      <c r="M12" s="30"/>
      <c r="N12" s="30"/>
      <c r="O12" s="32"/>
    </row>
    <row r="13" spans="1:15" x14ac:dyDescent="0.3">
      <c r="A13" s="30">
        <v>28</v>
      </c>
      <c r="B13" s="30" t="s">
        <v>41</v>
      </c>
      <c r="C13" s="29" t="s">
        <v>39</v>
      </c>
      <c r="D13" s="29">
        <v>50</v>
      </c>
      <c r="E13" s="29">
        <v>25</v>
      </c>
      <c r="F13" s="44"/>
      <c r="G13" s="30"/>
      <c r="H13" s="30"/>
      <c r="I13" s="30"/>
      <c r="J13" s="30"/>
      <c r="K13" s="30"/>
      <c r="L13" s="30" t="s">
        <v>42</v>
      </c>
      <c r="M13" s="30"/>
      <c r="N13" s="30"/>
      <c r="O13" s="32"/>
    </row>
    <row r="14" spans="1:15" ht="20.399999999999999" customHeight="1" x14ac:dyDescent="0.3">
      <c r="A14" s="30">
        <v>28</v>
      </c>
      <c r="B14" s="30" t="s">
        <v>43</v>
      </c>
      <c r="C14" s="29" t="s">
        <v>44</v>
      </c>
      <c r="D14" s="29">
        <v>50</v>
      </c>
      <c r="E14" s="29">
        <v>50</v>
      </c>
      <c r="F14" s="44" t="s">
        <v>26</v>
      </c>
      <c r="G14" s="30" t="s">
        <v>32</v>
      </c>
      <c r="H14" s="30" t="s">
        <v>45</v>
      </c>
      <c r="I14" s="30"/>
      <c r="J14" s="30" t="s">
        <v>19</v>
      </c>
      <c r="K14" s="31"/>
      <c r="L14" s="30" t="s">
        <v>46</v>
      </c>
      <c r="M14" s="30"/>
      <c r="N14" s="30"/>
      <c r="O14" s="32" t="s">
        <v>47</v>
      </c>
    </row>
    <row r="15" spans="1:15" x14ac:dyDescent="0.3">
      <c r="A15" s="30"/>
      <c r="B15" s="30" t="s">
        <v>48</v>
      </c>
      <c r="C15" s="29" t="s">
        <v>49</v>
      </c>
      <c r="D15" s="29">
        <v>50</v>
      </c>
      <c r="E15" s="29">
        <v>42</v>
      </c>
      <c r="F15" s="44" t="s">
        <v>26</v>
      </c>
      <c r="G15" s="30" t="s">
        <v>32</v>
      </c>
      <c r="H15" s="30"/>
      <c r="I15" s="30"/>
      <c r="J15" s="30"/>
      <c r="K15" s="30"/>
      <c r="L15" s="30" t="s">
        <v>50</v>
      </c>
      <c r="M15" s="30"/>
      <c r="N15" s="30"/>
      <c r="O15" s="36"/>
    </row>
    <row r="16" spans="1:15" x14ac:dyDescent="0.3">
      <c r="A16" s="30">
        <v>25</v>
      </c>
      <c r="B16" s="30" t="s">
        <v>51</v>
      </c>
      <c r="C16" s="29" t="s">
        <v>52</v>
      </c>
      <c r="D16" s="29">
        <v>50</v>
      </c>
      <c r="E16" s="29">
        <v>28</v>
      </c>
      <c r="F16" s="44" t="s">
        <v>26</v>
      </c>
      <c r="G16" s="30" t="s">
        <v>32</v>
      </c>
      <c r="H16" s="30"/>
      <c r="I16" s="30"/>
      <c r="J16" s="30"/>
      <c r="K16" s="30"/>
      <c r="L16" s="30" t="s">
        <v>53</v>
      </c>
      <c r="M16" s="30"/>
      <c r="N16" s="30"/>
      <c r="O16" s="32"/>
    </row>
    <row r="17" spans="1:15" x14ac:dyDescent="0.3">
      <c r="A17" s="30">
        <v>25</v>
      </c>
      <c r="B17" s="30" t="s">
        <v>54</v>
      </c>
      <c r="C17" s="29" t="s">
        <v>29</v>
      </c>
      <c r="D17" s="29">
        <v>80</v>
      </c>
      <c r="E17" s="29">
        <v>50</v>
      </c>
      <c r="F17" s="44" t="s">
        <v>26</v>
      </c>
      <c r="G17" s="30"/>
      <c r="H17" s="30"/>
      <c r="I17" s="30"/>
      <c r="J17" s="30"/>
      <c r="K17" s="30"/>
      <c r="L17" s="30" t="s">
        <v>129</v>
      </c>
      <c r="M17" s="30"/>
      <c r="N17" s="30"/>
      <c r="O17" s="36"/>
    </row>
    <row r="18" spans="1:15" x14ac:dyDescent="0.3">
      <c r="A18" s="30">
        <v>25</v>
      </c>
      <c r="B18" s="30" t="s">
        <v>55</v>
      </c>
      <c r="C18" s="29" t="s">
        <v>49</v>
      </c>
      <c r="D18" s="29">
        <v>50</v>
      </c>
      <c r="E18" s="29">
        <v>42</v>
      </c>
      <c r="F18" s="44" t="s">
        <v>26</v>
      </c>
      <c r="G18" s="30" t="s">
        <v>32</v>
      </c>
      <c r="H18" s="30"/>
      <c r="I18" s="30"/>
      <c r="J18" s="30"/>
      <c r="K18" s="30"/>
      <c r="L18" s="30" t="s">
        <v>130</v>
      </c>
      <c r="M18" s="30"/>
      <c r="N18" s="30"/>
      <c r="O18" s="32"/>
    </row>
    <row r="19" spans="1:15" x14ac:dyDescent="0.3">
      <c r="A19" s="30">
        <v>33</v>
      </c>
      <c r="B19" s="30" t="s">
        <v>56</v>
      </c>
      <c r="C19" s="29" t="s">
        <v>44</v>
      </c>
      <c r="D19" s="29">
        <v>50</v>
      </c>
      <c r="E19" s="29">
        <v>50</v>
      </c>
      <c r="F19" s="44" t="s">
        <v>26</v>
      </c>
      <c r="G19" s="30"/>
      <c r="H19" s="30"/>
      <c r="I19" s="30"/>
      <c r="J19" s="30"/>
      <c r="K19" s="30"/>
      <c r="L19" s="30" t="s">
        <v>57</v>
      </c>
      <c r="M19" s="30"/>
      <c r="N19" s="30"/>
      <c r="O19" s="32" t="s">
        <v>58</v>
      </c>
    </row>
    <row r="20" spans="1:15" x14ac:dyDescent="0.3">
      <c r="A20" s="30">
        <v>33</v>
      </c>
      <c r="B20" s="30" t="s">
        <v>59</v>
      </c>
      <c r="C20" s="29" t="s">
        <v>44</v>
      </c>
      <c r="D20" s="29">
        <v>50</v>
      </c>
      <c r="E20" s="29">
        <v>50</v>
      </c>
      <c r="F20" s="44"/>
      <c r="G20" s="30"/>
      <c r="H20" s="30"/>
      <c r="I20" s="30"/>
      <c r="J20" s="30"/>
      <c r="K20" s="30"/>
      <c r="L20" s="30" t="s">
        <v>131</v>
      </c>
      <c r="M20" s="30"/>
      <c r="N20" s="30"/>
      <c r="O20" s="32"/>
    </row>
    <row r="21" spans="1:15" x14ac:dyDescent="0.3">
      <c r="A21" s="30">
        <v>33</v>
      </c>
      <c r="B21" s="30" t="s">
        <v>60</v>
      </c>
      <c r="C21" s="29" t="s">
        <v>52</v>
      </c>
      <c r="D21" s="29">
        <v>50</v>
      </c>
      <c r="E21" s="29">
        <v>28</v>
      </c>
      <c r="F21" s="44"/>
      <c r="G21" s="30"/>
      <c r="H21" s="30"/>
      <c r="I21" s="30"/>
      <c r="J21" s="30"/>
      <c r="K21" s="30"/>
      <c r="L21" s="30" t="s">
        <v>61</v>
      </c>
      <c r="M21" s="30"/>
      <c r="N21" s="30"/>
      <c r="O21" s="30"/>
    </row>
    <row r="22" spans="1:15" x14ac:dyDescent="0.3">
      <c r="A22" s="30">
        <v>25</v>
      </c>
      <c r="B22" s="30" t="s">
        <v>62</v>
      </c>
      <c r="C22" s="29" t="s">
        <v>44</v>
      </c>
      <c r="D22" s="29">
        <v>50</v>
      </c>
      <c r="E22" s="29">
        <v>50</v>
      </c>
      <c r="F22" s="44" t="s">
        <v>26</v>
      </c>
      <c r="G22" s="30" t="s">
        <v>32</v>
      </c>
      <c r="H22" s="30"/>
      <c r="I22" s="30"/>
      <c r="J22" s="30"/>
      <c r="K22" s="30"/>
      <c r="L22" s="30" t="s">
        <v>63</v>
      </c>
      <c r="M22" s="30"/>
      <c r="N22" s="30"/>
      <c r="O22" s="30"/>
    </row>
    <row r="23" spans="1:15" ht="24" customHeight="1" x14ac:dyDescent="0.3">
      <c r="A23" s="30">
        <v>12</v>
      </c>
      <c r="B23" s="30" t="s">
        <v>64</v>
      </c>
      <c r="C23" s="29" t="s">
        <v>65</v>
      </c>
      <c r="D23" s="29">
        <v>50</v>
      </c>
      <c r="E23" s="29">
        <v>60</v>
      </c>
      <c r="F23" s="44" t="s">
        <v>26</v>
      </c>
      <c r="G23" s="30" t="s">
        <v>32</v>
      </c>
      <c r="H23" s="30" t="s">
        <v>45</v>
      </c>
      <c r="I23" s="30" t="s">
        <v>66</v>
      </c>
      <c r="J23" s="30" t="s">
        <v>19</v>
      </c>
      <c r="K23" s="30" t="s">
        <v>67</v>
      </c>
      <c r="L23" s="30" t="s">
        <v>68</v>
      </c>
      <c r="M23" s="30"/>
      <c r="N23" s="30">
        <v>20</v>
      </c>
      <c r="O23" s="30"/>
    </row>
    <row r="24" spans="1:15" x14ac:dyDescent="0.3">
      <c r="A24" s="30">
        <v>28</v>
      </c>
      <c r="B24" s="30" t="s">
        <v>69</v>
      </c>
      <c r="C24" s="29" t="s">
        <v>44</v>
      </c>
      <c r="D24" s="29">
        <v>50</v>
      </c>
      <c r="E24" s="29">
        <v>50</v>
      </c>
      <c r="F24" s="44"/>
      <c r="G24" s="30"/>
      <c r="H24" s="30"/>
      <c r="I24" s="30"/>
      <c r="J24" s="30"/>
      <c r="K24" s="30"/>
      <c r="L24" s="30" t="s">
        <v>70</v>
      </c>
      <c r="M24" s="30"/>
      <c r="N24" s="30"/>
      <c r="O24" s="30"/>
    </row>
    <row r="25" spans="1:15" x14ac:dyDescent="0.3">
      <c r="A25" s="30">
        <v>12</v>
      </c>
      <c r="B25" s="37" t="s">
        <v>71</v>
      </c>
      <c r="C25" s="38" t="s">
        <v>72</v>
      </c>
      <c r="D25" s="38">
        <v>24</v>
      </c>
      <c r="E25" s="38">
        <v>5</v>
      </c>
      <c r="F25" s="45" t="s">
        <v>17</v>
      </c>
      <c r="G25" s="30" t="s">
        <v>73</v>
      </c>
      <c r="H25" s="30"/>
      <c r="I25" s="30"/>
      <c r="J25" s="30"/>
      <c r="K25" s="30"/>
      <c r="L25" s="30" t="s">
        <v>132</v>
      </c>
      <c r="M25" s="30"/>
      <c r="N25" s="30"/>
      <c r="O25" s="30"/>
    </row>
    <row r="26" spans="1:15" x14ac:dyDescent="0.3">
      <c r="A26" s="30">
        <v>12</v>
      </c>
      <c r="B26" s="37"/>
      <c r="C26" s="29" t="s">
        <v>74</v>
      </c>
      <c r="D26" s="29">
        <v>24</v>
      </c>
      <c r="E26" s="29">
        <v>10</v>
      </c>
      <c r="F26" s="45" t="s">
        <v>17</v>
      </c>
      <c r="G26" s="30" t="s">
        <v>73</v>
      </c>
      <c r="H26" s="30"/>
      <c r="I26" s="30"/>
      <c r="J26" s="30"/>
      <c r="K26" s="30"/>
      <c r="L26" s="30" t="s">
        <v>133</v>
      </c>
      <c r="M26" s="30"/>
      <c r="N26" s="30"/>
      <c r="O26" s="30"/>
    </row>
    <row r="27" spans="1:15" x14ac:dyDescent="0.3">
      <c r="A27" s="30">
        <v>12</v>
      </c>
      <c r="B27" s="30" t="s">
        <v>75</v>
      </c>
      <c r="C27" s="30" t="s">
        <v>39</v>
      </c>
      <c r="D27" s="30">
        <v>50</v>
      </c>
      <c r="E27" s="30">
        <v>25</v>
      </c>
      <c r="F27" s="45" t="s">
        <v>17</v>
      </c>
      <c r="G27" s="30" t="s">
        <v>73</v>
      </c>
      <c r="H27" s="30"/>
      <c r="I27" s="30"/>
      <c r="J27" s="30"/>
      <c r="K27" s="30"/>
      <c r="L27" s="39" t="s">
        <v>76</v>
      </c>
      <c r="M27" s="39"/>
      <c r="N27" s="39"/>
      <c r="O27" s="30"/>
    </row>
    <row r="28" spans="1:15" x14ac:dyDescent="0.3">
      <c r="A28" s="30">
        <v>12</v>
      </c>
      <c r="B28" s="37" t="s">
        <v>77</v>
      </c>
      <c r="C28" s="30" t="s">
        <v>78</v>
      </c>
      <c r="D28" s="30">
        <v>25</v>
      </c>
      <c r="E28" s="30">
        <v>3</v>
      </c>
      <c r="F28" s="45"/>
      <c r="G28" s="30"/>
      <c r="H28" s="30"/>
      <c r="I28" s="30"/>
      <c r="J28" s="30"/>
      <c r="K28" s="30"/>
      <c r="L28" s="30" t="s">
        <v>79</v>
      </c>
      <c r="M28" s="30"/>
      <c r="N28" s="30"/>
      <c r="O28" s="30"/>
    </row>
    <row r="29" spans="1:15" x14ac:dyDescent="0.3">
      <c r="A29" s="30">
        <v>12</v>
      </c>
      <c r="B29" s="37"/>
      <c r="C29" s="30" t="s">
        <v>72</v>
      </c>
      <c r="D29" s="30">
        <v>24</v>
      </c>
      <c r="E29" s="39">
        <v>5</v>
      </c>
      <c r="F29" s="43"/>
      <c r="G29" s="30"/>
      <c r="H29" s="30"/>
      <c r="I29" s="30"/>
      <c r="J29" s="30"/>
      <c r="K29" s="30"/>
      <c r="L29" s="30" t="s">
        <v>80</v>
      </c>
      <c r="M29" s="30"/>
      <c r="N29" s="30"/>
      <c r="O29" s="30"/>
    </row>
    <row r="30" spans="1:15" x14ac:dyDescent="0.3">
      <c r="A30" s="30">
        <v>12</v>
      </c>
      <c r="B30" s="39" t="s">
        <v>81</v>
      </c>
      <c r="C30" s="39" t="s">
        <v>74</v>
      </c>
      <c r="D30" s="39">
        <v>24</v>
      </c>
      <c r="E30" s="39">
        <v>10</v>
      </c>
      <c r="F30" s="46" t="s">
        <v>17</v>
      </c>
      <c r="G30" s="30" t="s">
        <v>73</v>
      </c>
      <c r="H30" s="39"/>
      <c r="I30" s="39"/>
      <c r="J30" s="39"/>
      <c r="K30" s="39"/>
      <c r="L30" s="30" t="s">
        <v>82</v>
      </c>
      <c r="M30" s="30"/>
      <c r="N30" s="30"/>
      <c r="O30" s="30"/>
    </row>
    <row r="31" spans="1:15" x14ac:dyDescent="0.3">
      <c r="A31" s="30">
        <v>12</v>
      </c>
      <c r="B31" s="39" t="s">
        <v>83</v>
      </c>
      <c r="C31" s="39" t="s">
        <v>84</v>
      </c>
      <c r="D31" s="40" t="s">
        <v>85</v>
      </c>
      <c r="E31" s="30">
        <v>20</v>
      </c>
      <c r="F31" s="46" t="s">
        <v>17</v>
      </c>
      <c r="G31" s="30" t="s">
        <v>73</v>
      </c>
      <c r="H31" s="39"/>
      <c r="I31" s="39"/>
      <c r="J31" s="39"/>
      <c r="K31" s="39"/>
      <c r="L31" s="30" t="s">
        <v>86</v>
      </c>
      <c r="M31" s="30"/>
      <c r="N31" s="30"/>
      <c r="O31" s="30"/>
    </row>
    <row r="32" spans="1:15" x14ac:dyDescent="0.3">
      <c r="A32" s="30">
        <v>12</v>
      </c>
      <c r="B32" s="30" t="s">
        <v>87</v>
      </c>
      <c r="C32" s="30" t="s">
        <v>44</v>
      </c>
      <c r="D32" s="40" t="s">
        <v>85</v>
      </c>
      <c r="E32" s="30">
        <v>50</v>
      </c>
      <c r="F32" s="44" t="s">
        <v>26</v>
      </c>
      <c r="G32" s="30" t="s">
        <v>32</v>
      </c>
      <c r="H32" s="30"/>
      <c r="I32" s="30"/>
      <c r="J32" s="30"/>
      <c r="K32" s="30"/>
      <c r="L32" s="30" t="s">
        <v>88</v>
      </c>
      <c r="M32" s="30"/>
      <c r="N32" s="30"/>
      <c r="O32" s="30" t="s">
        <v>89</v>
      </c>
    </row>
    <row r="33" spans="1:15" x14ac:dyDescent="0.3">
      <c r="A33" s="30">
        <v>12</v>
      </c>
      <c r="B33" s="30" t="s">
        <v>90</v>
      </c>
      <c r="C33" s="30" t="s">
        <v>65</v>
      </c>
      <c r="D33" s="40" t="s">
        <v>85</v>
      </c>
      <c r="E33" s="30">
        <v>60</v>
      </c>
      <c r="F33" s="44" t="s">
        <v>26</v>
      </c>
      <c r="G33" s="30" t="s">
        <v>32</v>
      </c>
      <c r="H33" s="30"/>
      <c r="I33" s="30"/>
      <c r="J33" s="30"/>
      <c r="K33" s="30"/>
      <c r="L33" s="30" t="s">
        <v>91</v>
      </c>
      <c r="M33" s="30"/>
      <c r="N33" s="30"/>
      <c r="O33" s="30" t="s">
        <v>92</v>
      </c>
    </row>
    <row r="34" spans="1:15" x14ac:dyDescent="0.3">
      <c r="A34" s="30">
        <v>12</v>
      </c>
      <c r="B34" s="30" t="s">
        <v>93</v>
      </c>
      <c r="C34" s="30" t="s">
        <v>44</v>
      </c>
      <c r="D34" s="40" t="s">
        <v>85</v>
      </c>
      <c r="E34" s="30">
        <v>50</v>
      </c>
      <c r="F34" s="44" t="s">
        <v>26</v>
      </c>
      <c r="G34" s="30" t="s">
        <v>32</v>
      </c>
      <c r="H34" s="30"/>
      <c r="I34" s="30"/>
      <c r="J34" s="30"/>
      <c r="K34" s="30"/>
      <c r="L34" s="30" t="s">
        <v>94</v>
      </c>
      <c r="M34" s="30"/>
      <c r="N34" s="30"/>
      <c r="O34" s="30" t="s">
        <v>95</v>
      </c>
    </row>
    <row r="35" spans="1:15" x14ac:dyDescent="0.3">
      <c r="A35" s="30">
        <v>12</v>
      </c>
      <c r="B35" s="30" t="s">
        <v>96</v>
      </c>
      <c r="C35" s="30" t="s">
        <v>97</v>
      </c>
      <c r="D35" s="30">
        <v>24</v>
      </c>
      <c r="E35" s="30">
        <v>12</v>
      </c>
      <c r="F35" s="45"/>
      <c r="G35" s="30"/>
      <c r="H35" s="30"/>
      <c r="I35" s="30"/>
      <c r="J35" s="30"/>
      <c r="K35" s="30"/>
      <c r="L35" s="30" t="s">
        <v>98</v>
      </c>
      <c r="M35" s="30"/>
      <c r="N35" s="30"/>
      <c r="O35" s="30" t="s">
        <v>99</v>
      </c>
    </row>
    <row r="36" spans="1:15" x14ac:dyDescent="0.3">
      <c r="A36" s="30">
        <v>12</v>
      </c>
      <c r="B36" s="30" t="s">
        <v>100</v>
      </c>
      <c r="C36" s="41" t="s">
        <v>97</v>
      </c>
      <c r="D36" s="30">
        <v>24</v>
      </c>
      <c r="E36" s="41" t="s">
        <v>101</v>
      </c>
      <c r="F36" s="45"/>
      <c r="G36" s="30"/>
      <c r="H36" s="30"/>
      <c r="I36" s="30"/>
      <c r="J36" s="30"/>
      <c r="K36" s="30"/>
      <c r="L36" s="30" t="s">
        <v>102</v>
      </c>
      <c r="M36" s="30"/>
      <c r="N36" s="30"/>
      <c r="O36" s="30" t="s">
        <v>103</v>
      </c>
    </row>
    <row r="37" spans="1:15" ht="22.2" customHeight="1" x14ac:dyDescent="0.3">
      <c r="A37" s="30">
        <v>12</v>
      </c>
      <c r="B37" s="30" t="s">
        <v>104</v>
      </c>
      <c r="C37" s="41" t="s">
        <v>105</v>
      </c>
      <c r="D37" s="41" t="s">
        <v>106</v>
      </c>
      <c r="E37" s="41" t="s">
        <v>85</v>
      </c>
      <c r="F37" s="45" t="s">
        <v>26</v>
      </c>
      <c r="G37" s="30" t="s">
        <v>32</v>
      </c>
      <c r="H37" s="30" t="s">
        <v>107</v>
      </c>
      <c r="I37" s="30"/>
      <c r="J37" s="30"/>
      <c r="K37" s="30" t="s">
        <v>108</v>
      </c>
      <c r="L37" s="30" t="s">
        <v>109</v>
      </c>
      <c r="M37" s="30"/>
      <c r="N37" s="30"/>
      <c r="O37" s="30"/>
    </row>
    <row r="38" spans="1:15" x14ac:dyDescent="0.3">
      <c r="A38" s="32">
        <v>12</v>
      </c>
      <c r="B38" s="32" t="s">
        <v>110</v>
      </c>
      <c r="C38" s="34" t="s">
        <v>49</v>
      </c>
      <c r="D38" s="34" t="s">
        <v>85</v>
      </c>
      <c r="E38" s="34" t="s">
        <v>111</v>
      </c>
      <c r="F38" s="45"/>
      <c r="G38" s="32"/>
      <c r="H38" s="32"/>
      <c r="I38" s="32"/>
      <c r="J38" s="32"/>
      <c r="K38" s="32"/>
      <c r="L38" s="32" t="s">
        <v>112</v>
      </c>
      <c r="M38" s="32"/>
      <c r="N38" s="32"/>
      <c r="O38" s="32"/>
    </row>
    <row r="39" spans="1:15" x14ac:dyDescent="0.3">
      <c r="A39" s="32">
        <v>28</v>
      </c>
      <c r="B39" s="32" t="s">
        <v>113</v>
      </c>
      <c r="C39" s="34" t="s">
        <v>97</v>
      </c>
      <c r="D39" s="34" t="s">
        <v>114</v>
      </c>
      <c r="E39" s="34" t="s">
        <v>101</v>
      </c>
      <c r="F39" s="45"/>
      <c r="G39" s="32"/>
      <c r="H39" s="32"/>
      <c r="I39" s="32"/>
      <c r="J39" s="32"/>
      <c r="K39" s="32"/>
      <c r="L39" s="32" t="s">
        <v>115</v>
      </c>
      <c r="M39" s="32"/>
      <c r="N39" s="32"/>
      <c r="O39" s="32"/>
    </row>
    <row r="40" spans="1:15" x14ac:dyDescent="0.3">
      <c r="A40" s="32">
        <v>12</v>
      </c>
      <c r="B40" s="32"/>
      <c r="C40" s="34"/>
      <c r="D40" s="34"/>
      <c r="E40" s="34"/>
      <c r="F40" s="44"/>
      <c r="G40" s="32"/>
      <c r="H40" s="32"/>
      <c r="I40" s="32"/>
      <c r="J40" s="32"/>
      <c r="K40" s="32"/>
      <c r="L40" s="32"/>
      <c r="M40" s="32"/>
      <c r="N40" s="32"/>
      <c r="O40" s="32"/>
    </row>
    <row r="41" spans="1:15" ht="15" thickBot="1" x14ac:dyDescent="0.35">
      <c r="A41" s="32">
        <v>25</v>
      </c>
      <c r="B41" s="34" t="s">
        <v>116</v>
      </c>
      <c r="C41" s="33" t="s">
        <v>36</v>
      </c>
      <c r="D41" s="33">
        <v>50</v>
      </c>
      <c r="E41" s="33">
        <v>35</v>
      </c>
      <c r="F41" s="42" t="s">
        <v>17</v>
      </c>
      <c r="G41" s="34" t="s">
        <v>117</v>
      </c>
      <c r="H41" s="34"/>
      <c r="I41" s="34"/>
      <c r="J41" s="34"/>
      <c r="K41" s="34"/>
      <c r="L41" s="33" t="s">
        <v>118</v>
      </c>
      <c r="M41" s="33"/>
      <c r="N41" s="33"/>
      <c r="O41" s="35" t="s">
        <v>119</v>
      </c>
    </row>
    <row r="42" spans="1:15" ht="15" thickBot="1" x14ac:dyDescent="0.35">
      <c r="A42" s="12"/>
      <c r="B42" s="12" t="s">
        <v>120</v>
      </c>
      <c r="C42" s="12"/>
      <c r="D42" s="12"/>
      <c r="E42" s="12"/>
      <c r="F42" s="12"/>
      <c r="G42" s="12"/>
      <c r="H42" s="12"/>
      <c r="I42" s="12"/>
      <c r="J42" s="12"/>
      <c r="K42" s="12"/>
      <c r="L42" s="27" t="s">
        <v>121</v>
      </c>
      <c r="M42" s="27"/>
      <c r="N42" s="27"/>
      <c r="O42" s="28" t="s">
        <v>1</v>
      </c>
    </row>
    <row r="43" spans="1:15" ht="15" thickTop="1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4" t="s">
        <v>122</v>
      </c>
      <c r="M43" s="15"/>
      <c r="N43" s="15"/>
      <c r="O43" s="16"/>
    </row>
    <row r="44" spans="1:15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7" t="s">
        <v>123</v>
      </c>
      <c r="M44" s="18"/>
      <c r="N44" s="18"/>
      <c r="O44" s="10"/>
    </row>
    <row r="45" spans="1:15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7" t="s">
        <v>124</v>
      </c>
      <c r="M45" s="18"/>
      <c r="N45" s="18"/>
      <c r="O45" s="19" t="s">
        <v>125</v>
      </c>
    </row>
    <row r="46" spans="1:15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7" t="s">
        <v>126</v>
      </c>
      <c r="M46" s="18"/>
      <c r="N46" s="18"/>
      <c r="O46" s="20"/>
    </row>
    <row r="47" spans="1:15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8" t="s">
        <v>127</v>
      </c>
      <c r="M47" s="18"/>
      <c r="N47" s="18"/>
      <c r="O47" s="20"/>
    </row>
    <row r="48" spans="1:15" ht="15" thickBot="1" x14ac:dyDescent="0.3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 t="s">
        <v>128</v>
      </c>
      <c r="M48" s="23"/>
      <c r="N48" s="23"/>
      <c r="O48" s="24"/>
    </row>
  </sheetData>
  <mergeCells count="3">
    <mergeCell ref="B4:N4"/>
    <mergeCell ref="B25:B26"/>
    <mergeCell ref="B28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2026-06-13T19:31:02Z</dcterms:created>
  <dcterms:modified xsi:type="dcterms:W3CDTF">2026-06-13T20:14:03Z</dcterms:modified>
</cp:coreProperties>
</file>